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ogwin-my.sharepoint.com/personal/arkadiusz_sobczyk_logwin-logistics_com/Documents/Bee_app_displays/"/>
    </mc:Choice>
  </mc:AlternateContent>
  <xr:revisionPtr revIDLastSave="19" documentId="13_ncr:1_{C42ED9C5-F574-42A5-B7ED-173E8CC07FBF}" xr6:coauthVersionLast="47" xr6:coauthVersionMax="47" xr10:uidLastSave="{F48EA78A-41AE-40A1-8539-E39D53EADCBA}"/>
  <bookViews>
    <workbookView xWindow="15075" yWindow="-15075" windowWidth="21600" windowHeight="11295" xr2:uid="{00000000-000D-0000-FFFF-FFFF00000000}"/>
  </bookViews>
  <sheets>
    <sheet name="Name of SCHEDU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E11" i="2"/>
  <c r="F53" i="2"/>
  <c r="G53" i="2"/>
  <c r="H53" i="2"/>
  <c r="I53" i="2"/>
  <c r="L53" i="2"/>
  <c r="E53" i="2"/>
  <c r="E41" i="2"/>
  <c r="F54" i="2"/>
  <c r="G54" i="2"/>
  <c r="H54" i="2"/>
  <c r="I54" i="2"/>
  <c r="L54" i="2"/>
  <c r="E54" i="2"/>
  <c r="E42" i="2"/>
  <c r="D11" i="2"/>
  <c r="F41" i="2"/>
  <c r="G41" i="2"/>
  <c r="H41" i="2"/>
  <c r="I41" i="2"/>
  <c r="L41" i="2"/>
  <c r="M41" i="2"/>
  <c r="N41" i="2"/>
  <c r="O41" i="2"/>
  <c r="P41" i="2"/>
  <c r="E28" i="2"/>
  <c r="F42" i="2"/>
  <c r="G42" i="2"/>
  <c r="H42" i="2"/>
  <c r="I42" i="2"/>
  <c r="L42" i="2"/>
  <c r="M42" i="2"/>
  <c r="N42" i="2"/>
  <c r="O42" i="2"/>
  <c r="P42" i="2"/>
  <c r="E29" i="2"/>
  <c r="B13" i="2"/>
  <c r="C13" i="2"/>
  <c r="L28" i="2"/>
  <c r="M28" i="2"/>
  <c r="N28" i="2"/>
  <c r="O28" i="2"/>
  <c r="P28" i="2"/>
  <c r="S28" i="2"/>
  <c r="T28" i="2"/>
  <c r="U28" i="2"/>
  <c r="V28" i="2"/>
  <c r="W28" i="2"/>
  <c r="Z28" i="2"/>
  <c r="AA28" i="2"/>
  <c r="AB28" i="2"/>
  <c r="F28" i="2"/>
  <c r="G28" i="2"/>
  <c r="H28" i="2"/>
  <c r="I28" i="2"/>
  <c r="E22" i="2"/>
  <c r="F29" i="2"/>
  <c r="G29" i="2"/>
  <c r="H29" i="2"/>
  <c r="I29" i="2"/>
  <c r="L29" i="2"/>
  <c r="M29" i="2"/>
  <c r="N29" i="2"/>
  <c r="O29" i="2"/>
  <c r="P29" i="2"/>
  <c r="S29" i="2"/>
  <c r="T29" i="2"/>
  <c r="U29" i="2"/>
  <c r="V29" i="2"/>
  <c r="W29" i="2"/>
  <c r="Z29" i="2"/>
  <c r="AA29" i="2"/>
  <c r="AB29" i="2"/>
  <c r="H24" i="2"/>
  <c r="G24" i="2"/>
  <c r="G26" i="2"/>
  <c r="H26" i="2"/>
  <c r="I26" i="2"/>
  <c r="B2" i="2"/>
  <c r="AC18" i="2"/>
  <c r="AC19" i="2" s="1"/>
  <c r="E35" i="2"/>
  <c r="W22" i="2"/>
  <c r="W18" i="2" s="1"/>
  <c r="W19" i="2" s="1"/>
  <c r="V22" i="2"/>
  <c r="U22" i="2"/>
  <c r="T22" i="2"/>
  <c r="S22" i="2"/>
  <c r="P22" i="2"/>
  <c r="O22" i="2"/>
  <c r="N22" i="2"/>
  <c r="M22" i="2"/>
  <c r="L22" i="2"/>
  <c r="F22" i="2"/>
  <c r="G22" i="2"/>
  <c r="H22" i="2"/>
  <c r="I22" i="2"/>
  <c r="AB49" i="2"/>
  <c r="AA49" i="2"/>
  <c r="Z49" i="2"/>
  <c r="V49" i="2"/>
  <c r="U49" i="2"/>
  <c r="T49" i="2"/>
  <c r="S49" i="2"/>
  <c r="P49" i="2"/>
  <c r="O49" i="2"/>
  <c r="N49" i="2"/>
  <c r="M49" i="2"/>
  <c r="L49" i="2"/>
  <c r="I49" i="2"/>
  <c r="H49" i="2"/>
  <c r="G49" i="2"/>
  <c r="F49" i="2"/>
  <c r="E49" i="2"/>
  <c r="V35" i="2"/>
  <c r="U35" i="2"/>
  <c r="T35" i="2"/>
  <c r="S35" i="2"/>
  <c r="Z22" i="2"/>
  <c r="AA22" i="2"/>
  <c r="AB22" i="2"/>
  <c r="P38" i="2"/>
  <c r="P35" i="2" s="1"/>
  <c r="O38" i="2"/>
  <c r="O35" i="2" s="1"/>
  <c r="N38" i="2"/>
  <c r="N35" i="2" s="1"/>
  <c r="M38" i="2"/>
  <c r="M35" i="2" s="1"/>
  <c r="L38" i="2"/>
  <c r="L35" i="2" s="1"/>
  <c r="F38" i="2"/>
  <c r="F35" i="2" s="1"/>
  <c r="G38" i="2"/>
  <c r="G35" i="2" s="1"/>
  <c r="H38" i="2"/>
  <c r="I38" i="2"/>
  <c r="I35" i="2" s="1"/>
  <c r="C15" i="2"/>
  <c r="B15" i="2" s="1"/>
  <c r="AB51" i="2"/>
  <c r="AA51" i="2"/>
  <c r="Z51" i="2"/>
  <c r="V51" i="2"/>
  <c r="U51" i="2"/>
  <c r="T51" i="2"/>
  <c r="S51" i="2"/>
  <c r="P51" i="2"/>
  <c r="O51" i="2"/>
  <c r="N51" i="2"/>
  <c r="M51" i="2"/>
  <c r="L51" i="2"/>
  <c r="G51" i="2"/>
  <c r="H51" i="2"/>
  <c r="I51" i="2"/>
  <c r="V37" i="2"/>
  <c r="U37" i="2"/>
  <c r="T37" i="2"/>
  <c r="S37" i="2"/>
  <c r="P37" i="2"/>
  <c r="O37" i="2"/>
  <c r="N37" i="2"/>
  <c r="M37" i="2"/>
  <c r="L37" i="2"/>
  <c r="G37" i="2"/>
  <c r="H37" i="2"/>
  <c r="I37" i="2"/>
  <c r="F26" i="2"/>
  <c r="AC24" i="2"/>
  <c r="AB24" i="2"/>
  <c r="AA24" i="2"/>
  <c r="Z24" i="2"/>
  <c r="W24" i="2"/>
  <c r="V24" i="2"/>
  <c r="U24" i="2"/>
  <c r="T24" i="2"/>
  <c r="S24" i="2"/>
  <c r="M24" i="2"/>
  <c r="N24" i="2"/>
  <c r="O24" i="2"/>
  <c r="P24" i="2"/>
  <c r="L24" i="2"/>
  <c r="I24" i="2"/>
  <c r="C55" i="2"/>
  <c r="E40" i="2"/>
  <c r="F40" i="2" s="1"/>
  <c r="E52" i="2"/>
  <c r="C56" i="2"/>
  <c r="C43" i="2"/>
  <c r="C44" i="2"/>
  <c r="C31" i="2"/>
  <c r="C30" i="2"/>
  <c r="C11" i="2" l="1"/>
  <c r="S18" i="2"/>
  <c r="S19" i="2" s="1"/>
  <c r="AA18" i="2"/>
  <c r="AA19" i="2" s="1"/>
  <c r="AB18" i="2"/>
  <c r="AB19" i="2" s="1"/>
  <c r="Z18" i="2"/>
  <c r="Z19" i="2" s="1"/>
  <c r="I18" i="2"/>
  <c r="I19" i="2" s="1"/>
  <c r="L18" i="2"/>
  <c r="L19" i="2" s="1"/>
  <c r="M18" i="2"/>
  <c r="M19" i="2" s="1"/>
  <c r="N18" i="2"/>
  <c r="N19" i="2" s="1"/>
  <c r="U18" i="2"/>
  <c r="U19" i="2" s="1"/>
  <c r="V18" i="2"/>
  <c r="V19" i="2" s="1"/>
  <c r="P18" i="2"/>
  <c r="P19" i="2" s="1"/>
  <c r="C14" i="2"/>
  <c r="B14" i="2" s="1"/>
  <c r="T18" i="2"/>
  <c r="T19" i="2" s="1"/>
  <c r="H35" i="2"/>
  <c r="H18" i="2" s="1"/>
  <c r="H19" i="2" s="1"/>
  <c r="G18" i="2"/>
  <c r="G19" i="2" s="1"/>
  <c r="F18" i="2"/>
  <c r="F19" i="2" s="1"/>
  <c r="O18" i="2"/>
  <c r="O19" i="2" s="1"/>
  <c r="F52" i="2"/>
  <c r="G52" i="2" s="1"/>
  <c r="H52" i="2" s="1"/>
  <c r="I52" i="2" s="1"/>
  <c r="L52" i="2" s="1"/>
  <c r="M52" i="2" s="1"/>
  <c r="N52" i="2" s="1"/>
  <c r="O52" i="2" s="1"/>
  <c r="P52" i="2" s="1"/>
  <c r="S52" i="2" s="1"/>
  <c r="T52" i="2" s="1"/>
  <c r="U52" i="2" s="1"/>
  <c r="V52" i="2" s="1"/>
  <c r="Z52" i="2" s="1"/>
  <c r="AA52" i="2" s="1"/>
  <c r="AB52" i="2" s="1"/>
  <c r="E18" i="2"/>
  <c r="E19" i="2" s="1"/>
  <c r="G40" i="2"/>
  <c r="H40" i="2" s="1"/>
  <c r="I40" i="2" s="1"/>
  <c r="L40" i="2" s="1"/>
  <c r="M40" i="2" s="1"/>
  <c r="N40" i="2" s="1"/>
  <c r="O40" i="2" s="1"/>
  <c r="P40" i="2" s="1"/>
  <c r="S40" i="2" s="1"/>
  <c r="T40" i="2" s="1"/>
  <c r="U40" i="2" s="1"/>
  <c r="V40" i="2" s="1"/>
  <c r="E27" i="2"/>
  <c r="B3" i="2" l="1"/>
  <c r="F27" i="2"/>
  <c r="G27" i="2" s="1"/>
  <c r="H27" i="2" s="1"/>
  <c r="I27" i="2" s="1"/>
  <c r="L27" i="2" l="1"/>
  <c r="M27" i="2" s="1"/>
  <c r="N27" i="2" s="1"/>
  <c r="O27" i="2" s="1"/>
  <c r="P27" i="2" s="1"/>
  <c r="S27" i="2" l="1"/>
  <c r="T27" i="2" s="1"/>
  <c r="U27" i="2" s="1"/>
  <c r="V27" i="2" s="1"/>
  <c r="W27" i="2" s="1"/>
  <c r="Z27" i="2" l="1"/>
  <c r="AA27" i="2" s="1"/>
  <c r="AB27" i="2" s="1"/>
  <c r="AC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tc={7BF932D4-E4AE-4348-BE1C-4470B2D8AAD6}</author>
    <author>tc={082E9452-B189-475E-83F0-66C7B2AAFED7}</author>
    <author>tc={C205F190-2277-4F8D-9251-DEA104905DF1}</author>
  </authors>
  <commentList>
    <comment ref="F24" authorId="0" shapeId="0" xr:uid="{7BF932D4-E4AE-4348-BE1C-4470B2D8AAD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Tutaj
Odpowiedź:
    12 ubranych do 10:00</t>
      </text>
    </comment>
    <comment ref="F37" authorId="1" shapeId="0" xr:uid="{082E9452-B189-475E-83F0-66C7B2AAFED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tutaj
Odpowiedź:
    48 ubranych do 10:00</t>
      </text>
    </comment>
    <comment ref="F51" authorId="2" shapeId="0" xr:uid="{C205F190-2277-4F8D-9251-DEA104905DF1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tutaj
Odpowiedź:
    62 ubrane do godziny 10:00</t>
      </text>
    </comment>
  </commentList>
</comments>
</file>

<file path=xl/sharedStrings.xml><?xml version="1.0" encoding="utf-8"?>
<sst xmlns="http://schemas.openxmlformats.org/spreadsheetml/2006/main" count="66" uniqueCount="32">
  <si>
    <t>SIX</t>
  </si>
  <si>
    <t>TOSH</t>
  </si>
  <si>
    <t>Wysyłka SIX - ilość displays</t>
  </si>
  <si>
    <t>Wysyłka SUN OZON - ilość displays</t>
  </si>
  <si>
    <t>Wysyłka TOSH - ilość displays</t>
  </si>
  <si>
    <t>Akcje</t>
  </si>
  <si>
    <t>Post-processing</t>
  </si>
  <si>
    <t>PP orders</t>
  </si>
  <si>
    <t>Organic decorations</t>
  </si>
  <si>
    <t>Picking per one employee per hour</t>
  </si>
  <si>
    <t>Planned loading</t>
  </si>
  <si>
    <t>Shipped</t>
  </si>
  <si>
    <t>Average daily Employee</t>
  </si>
  <si>
    <t>SUN OZON</t>
  </si>
  <si>
    <t>Rochade pick + decoration TOTAL</t>
  </si>
  <si>
    <t>Manpower used:</t>
  </si>
  <si>
    <t>Decorated display per hour per employee</t>
  </si>
  <si>
    <t>Display decorated:</t>
  </si>
  <si>
    <t>Pick POS per day:</t>
  </si>
  <si>
    <t>Day to day Buffor</t>
  </si>
  <si>
    <t>Day to day buffor</t>
  </si>
  <si>
    <t>Employee needed per day</t>
  </si>
  <si>
    <t>Amount of employee needed per day</t>
  </si>
  <si>
    <t>Amount of employee needed per shift</t>
  </si>
  <si>
    <t>Securing display per hour per employee</t>
  </si>
  <si>
    <t>Display secured:</t>
  </si>
  <si>
    <t>Securing</t>
  </si>
  <si>
    <t>Avaible employee (Panie)</t>
  </si>
  <si>
    <t>Avaible employee (Panowie)</t>
  </si>
  <si>
    <t>Needed employee in average (Panowie)</t>
  </si>
  <si>
    <t>Needed employee in average (Panie)</t>
  </si>
  <si>
    <t>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</si>
</sst>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" fontId="0" fillId="0" borderId="0" xfId="0" applyNumberFormat="1"/>
    <xf numFmtId="0" fontId="0" fillId="0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1" fontId="0" fillId="2" borderId="0" xfId="0" applyNumberFormat="1" applyFill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14" fontId="0" fillId="0" borderId="6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1" xfId="0" applyBorder="1"/>
    <xf numFmtId="0" fontId="0" fillId="0" borderId="9" xfId="0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/>
    <xf numFmtId="1" fontId="0" fillId="2" borderId="10" xfId="0" applyNumberFormat="1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7" xfId="0" applyBorder="1"/>
    <xf numFmtId="0" fontId="0" fillId="0" borderId="16" xfId="0" applyBorder="1"/>
    <xf numFmtId="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1" fontId="0" fillId="0" borderId="10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liszka Adam" id="{A2A528CE-881A-481B-B072-E376F69D55E9}" userId="S::Adam.Reliszka@logwin-logistics.com::8abd7ffc-2ce7-4d5e-8a07-1ad40485b8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6-01-27T08:19:03.47" personId="{A2A528CE-881A-481B-B072-E376F69D55E9}" id="{7BF932D4-E4AE-4348-BE1C-4470B2D8AAD6}">
    <text xml:space="preserve">Tutaj
</text>
  </threadedComment>
  <threadedComment ref="F24" dT="2026-01-27T09:11:59.99" personId="{A2A528CE-881A-481B-B072-E376F69D55E9}" id="{AA3051D2-AACE-4434-8916-1BA1CDB709CA}" parentId="{7BF932D4-E4AE-4348-BE1C-4470B2D8AAD6}">
    <text>12 ubranych do 10:00</text>
  </threadedComment>
  <threadedComment ref="F37" dT="2026-01-27T08:19:13.20" personId="{A2A528CE-881A-481B-B072-E376F69D55E9}" id="{082E9452-B189-475E-83F0-66C7B2AAFED7}">
    <text>tutaj</text>
  </threadedComment>
  <threadedComment ref="F37" dT="2026-01-27T09:12:15.14" personId="{A2A528CE-881A-481B-B072-E376F69D55E9}" id="{D1C6DEE6-DD5E-4826-A200-158E75075FC9}" parentId="{082E9452-B189-475E-83F0-66C7B2AAFED7}">
    <text>48 ubranych do 10:00</text>
  </threadedComment>
  <threadedComment ref="F51" dT="2026-01-27T08:19:27.27" personId="{A2A528CE-881A-481B-B072-E376F69D55E9}" id="{C205F190-2277-4F8D-9251-DEA104905DF1}">
    <text>tutaj</text>
  </threadedComment>
  <threadedComment ref="F51" dT="2026-01-27T09:12:33.62" personId="{A2A528CE-881A-481B-B072-E376F69D55E9}" id="{A3EEE025-4C2B-4DCD-94B0-63273B37641D}" parentId="{C205F190-2277-4F8D-9251-DEA104905DF1}">
    <text>62 ubrane do godziny 10:00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B88C-46D5-43EF-B147-A22299BA01E4}">
  <dimension ref="A2:AE59"/>
  <sheetViews>
    <sheetView showGridLines="0" tabSelected="1" zoomScaleNormal="100" workbookViewId="0">
      <selection activeCell="M13" sqref="M13"/>
    </sheetView>
  </sheetViews>
  <sheetFormatPr defaultRowHeight="15" x14ac:dyDescent="0.25"/>
  <cols>
    <col min="1" max="1" width="38.7109375" bestFit="1" customWidth="1"/>
    <col min="2" max="2" width="9.42578125" bestFit="1" customWidth="1"/>
    <col min="3" max="3" width="26.7109375" customWidth="1"/>
    <col min="4" max="4" width="10.140625" bestFit="1" customWidth="1"/>
    <col min="5" max="9" width="10.42578125" bestFit="1" customWidth="1"/>
    <col min="10" max="10" width="10.140625" bestFit="1" customWidth="1"/>
    <col min="11" max="19" width="9.140625" bestFit="1" customWidth="1"/>
    <col min="20" max="30" width="10.140625" bestFit="1" customWidth="1"/>
  </cols>
  <sheetData>
    <row r="2" spans="1:5" x14ac:dyDescent="0.25">
      <c r="A2" t="s">
        <v>27</v>
      </c>
      <c r="B2">
        <f>73+40</f>
        <v>113</v>
      </c>
    </row>
    <row r="3" spans="1:5" x14ac:dyDescent="0.25">
      <c r="A3" t="s">
        <v>30</v>
      </c>
      <c r="B3" s="10">
        <f>SUM(B8:B15)</f>
        <v>132.61420412212505</v>
      </c>
    </row>
    <row r="4" spans="1:5" x14ac:dyDescent="0.25">
      <c r="A4" t="s">
        <v>28</v>
      </c>
      <c r="B4">
        <v>55</v>
      </c>
    </row>
    <row r="5" spans="1:5" x14ac:dyDescent="0.25">
      <c r="A5" t="s">
        <v>29</v>
      </c>
      <c r="B5">
        <v>30</v>
      </c>
    </row>
    <row r="7" spans="1:5" x14ac:dyDescent="0.25">
      <c r="A7" t="s">
        <v>5</v>
      </c>
      <c r="B7" t="s">
        <v>12</v>
      </c>
    </row>
    <row r="8" spans="1:5" x14ac:dyDescent="0.25">
      <c r="A8" t="s">
        <v>6</v>
      </c>
      <c r="B8">
        <v>35</v>
      </c>
    </row>
    <row r="9" spans="1:5" x14ac:dyDescent="0.25">
      <c r="A9" t="s">
        <v>7</v>
      </c>
      <c r="B9">
        <v>0</v>
      </c>
    </row>
    <row r="10" spans="1:5" x14ac:dyDescent="0.25">
      <c r="A10" t="s">
        <v>8</v>
      </c>
      <c r="B10">
        <v>4</v>
      </c>
      <c r="C10" s="1" t="s">
        <v>0</v>
      </c>
      <c r="D10" s="1" t="s">
        <v>31</v>
      </c>
      <c r="E10" s="1" t="s">
        <v>1</v>
      </c>
    </row>
    <row r="11" spans="1:5" x14ac:dyDescent="0.25">
      <c r="A11" t="s">
        <v>26</v>
      </c>
      <c r="B11" s="10">
        <f>(C11/7)/6+(D11/7)/3.5+(E11/7)/8</f>
        <v>30.191108884029806</v>
      </c>
      <c r="C11" s="46">
        <f>SUM(E28:AB28)</f>
        <v>195.3333333333334</v>
      </c>
      <c r="D11" s="46">
        <f>SUM(E41:X41)</f>
        <v>567.71428571428578</v>
      </c>
      <c r="E11" s="46">
        <f>SUM(E53:L53)</f>
        <v>132.625</v>
      </c>
    </row>
    <row r="12" spans="1:5" x14ac:dyDescent="0.25">
      <c r="A12" s="14" t="s">
        <v>14</v>
      </c>
      <c r="B12" s="14"/>
    </row>
    <row r="13" spans="1:5" x14ac:dyDescent="0.25">
      <c r="A13" s="14" t="s">
        <v>0</v>
      </c>
      <c r="B13" s="15">
        <f>(C13/7)/18</f>
        <v>19.677619047619046</v>
      </c>
      <c r="C13">
        <f>SUM(D23:AE23)+SUM(D25:AE25)</f>
        <v>2479.3799999999997</v>
      </c>
    </row>
    <row r="14" spans="1:5" x14ac:dyDescent="0.25">
      <c r="A14" s="14" t="s">
        <v>13</v>
      </c>
      <c r="B14" s="15">
        <f>(C14/7)/10</f>
        <v>23.289285714285715</v>
      </c>
      <c r="C14">
        <f>SUM(D36:AE36)+SUM(D38:AE38)</f>
        <v>1630.25</v>
      </c>
    </row>
    <row r="15" spans="1:5" x14ac:dyDescent="0.25">
      <c r="A15" s="14" t="s">
        <v>1</v>
      </c>
      <c r="B15" s="15">
        <f>(C15/7)/6</f>
        <v>20.456190476190475</v>
      </c>
      <c r="C15">
        <f>SUM(D50:AE50)</f>
        <v>859.16</v>
      </c>
    </row>
    <row r="17" spans="1:31" x14ac:dyDescent="0.25">
      <c r="E17" s="6">
        <v>46048</v>
      </c>
      <c r="F17" s="19">
        <v>46049</v>
      </c>
      <c r="G17" s="6">
        <v>46050</v>
      </c>
      <c r="H17" s="6">
        <v>46051</v>
      </c>
      <c r="I17" s="6">
        <v>46052</v>
      </c>
      <c r="J17" s="6">
        <v>46053</v>
      </c>
      <c r="K17" s="6">
        <v>46054</v>
      </c>
      <c r="L17" s="6">
        <v>46055</v>
      </c>
      <c r="M17" s="6">
        <v>46056</v>
      </c>
      <c r="N17" s="6">
        <v>46057</v>
      </c>
      <c r="O17" s="6">
        <v>46058</v>
      </c>
      <c r="P17" s="6">
        <v>46059</v>
      </c>
      <c r="Q17" s="6">
        <v>46060</v>
      </c>
      <c r="R17" s="6">
        <v>46061</v>
      </c>
      <c r="S17" s="6">
        <v>46062</v>
      </c>
      <c r="T17" s="6">
        <v>46063</v>
      </c>
      <c r="U17" s="6">
        <v>46064</v>
      </c>
      <c r="V17" s="6">
        <v>46065</v>
      </c>
      <c r="W17" s="6">
        <v>46066</v>
      </c>
      <c r="X17" s="6">
        <v>46067</v>
      </c>
      <c r="Y17" s="6">
        <v>46068</v>
      </c>
      <c r="Z17" s="6">
        <v>46069</v>
      </c>
      <c r="AA17" s="7">
        <v>46070</v>
      </c>
      <c r="AB17" s="7">
        <v>46071</v>
      </c>
      <c r="AC17" s="7">
        <v>46072</v>
      </c>
    </row>
    <row r="18" spans="1:31" x14ac:dyDescent="0.25">
      <c r="C18" s="33" t="s">
        <v>22</v>
      </c>
      <c r="D18" s="35"/>
      <c r="E18" s="37">
        <f>E22+E35+E49</f>
        <v>79.771999999999991</v>
      </c>
      <c r="F18" s="37">
        <f>F22+F35+F49</f>
        <v>65.2</v>
      </c>
      <c r="G18" s="37">
        <f>G22+G35+G49</f>
        <v>72.933333333333337</v>
      </c>
      <c r="H18" s="37">
        <f>H22+H35+H49</f>
        <v>72.933333333333337</v>
      </c>
      <c r="I18" s="37">
        <f>I22+I35+I49</f>
        <v>65.2</v>
      </c>
      <c r="J18" s="38"/>
      <c r="K18" s="38"/>
      <c r="L18" s="37">
        <f>L22+L35+L49</f>
        <v>51</v>
      </c>
      <c r="M18" s="37">
        <f>M22+M35+M49</f>
        <v>42.4</v>
      </c>
      <c r="N18" s="37">
        <f>N22+N35+N49</f>
        <v>42.4</v>
      </c>
      <c r="O18" s="37">
        <f>O22+O35+O49</f>
        <v>42.4</v>
      </c>
      <c r="P18" s="37">
        <f>P22+P35+P49</f>
        <v>28.533333333333331</v>
      </c>
      <c r="Q18" s="38"/>
      <c r="R18" s="38"/>
      <c r="S18" s="37">
        <f>S22+S35+S49</f>
        <v>13.333333333333334</v>
      </c>
      <c r="T18" s="37">
        <f>T22+T35+T49</f>
        <v>13.333333333333334</v>
      </c>
      <c r="U18" s="37">
        <f>U22+U35+U49</f>
        <v>13.333333333333334</v>
      </c>
      <c r="V18" s="37">
        <f>V22+V35+V49</f>
        <v>13.333333333333334</v>
      </c>
      <c r="W18" s="37">
        <f>W22+W35+W49</f>
        <v>13.333333333333334</v>
      </c>
      <c r="X18" s="38"/>
      <c r="Y18" s="38"/>
      <c r="Z18" s="37">
        <f>Z22+Z35+Z49</f>
        <v>13.333333333333334</v>
      </c>
      <c r="AA18" s="37">
        <f>AA22+AA35+AA49</f>
        <v>13.333333333333334</v>
      </c>
      <c r="AB18" s="37">
        <f>AB22+AB35+AB49</f>
        <v>6.4</v>
      </c>
      <c r="AC18" s="39">
        <f>AC22+AC35+AC49</f>
        <v>0</v>
      </c>
    </row>
    <row r="19" spans="1:31" x14ac:dyDescent="0.25">
      <c r="C19" s="34" t="s">
        <v>23</v>
      </c>
      <c r="D19" s="36"/>
      <c r="E19" s="40">
        <f>E18/2</f>
        <v>39.885999999999996</v>
      </c>
      <c r="F19" s="40">
        <f t="shared" ref="F19:I19" si="0">F18/2</f>
        <v>32.6</v>
      </c>
      <c r="G19" s="40">
        <f t="shared" si="0"/>
        <v>36.466666666666669</v>
      </c>
      <c r="H19" s="40">
        <f t="shared" si="0"/>
        <v>36.466666666666669</v>
      </c>
      <c r="I19" s="40">
        <f t="shared" si="0"/>
        <v>32.6</v>
      </c>
      <c r="J19" s="41"/>
      <c r="K19" s="41"/>
      <c r="L19" s="40">
        <f>L18/2</f>
        <v>25.5</v>
      </c>
      <c r="M19" s="40">
        <f t="shared" ref="M19" si="1">M18/2</f>
        <v>21.2</v>
      </c>
      <c r="N19" s="40">
        <f t="shared" ref="N19" si="2">N18/2</f>
        <v>21.2</v>
      </c>
      <c r="O19" s="40">
        <f t="shared" ref="O19" si="3">O18/2</f>
        <v>21.2</v>
      </c>
      <c r="P19" s="40">
        <f t="shared" ref="P19" si="4">P18/2</f>
        <v>14.266666666666666</v>
      </c>
      <c r="Q19" s="41"/>
      <c r="R19" s="41"/>
      <c r="S19" s="40">
        <f>S18/2</f>
        <v>6.666666666666667</v>
      </c>
      <c r="T19" s="40">
        <f t="shared" ref="T19" si="5">T18/2</f>
        <v>6.666666666666667</v>
      </c>
      <c r="U19" s="40">
        <f t="shared" ref="U19" si="6">U18/2</f>
        <v>6.666666666666667</v>
      </c>
      <c r="V19" s="40">
        <f t="shared" ref="V19" si="7">V18/2</f>
        <v>6.666666666666667</v>
      </c>
      <c r="W19" s="40">
        <f t="shared" ref="W19" si="8">W18/2</f>
        <v>6.666666666666667</v>
      </c>
      <c r="X19" s="41"/>
      <c r="Y19" s="41"/>
      <c r="Z19" s="40">
        <f>Z18/2</f>
        <v>6.666666666666667</v>
      </c>
      <c r="AA19" s="40">
        <f t="shared" ref="AA19" si="9">AA18/2</f>
        <v>6.666666666666667</v>
      </c>
      <c r="AB19" s="40">
        <f t="shared" ref="AB19" si="10">AB18/2</f>
        <v>3.2</v>
      </c>
      <c r="AC19" s="42">
        <f t="shared" ref="AC19" si="11">AC18/2</f>
        <v>0</v>
      </c>
      <c r="AD19" s="10"/>
    </row>
    <row r="21" spans="1:31" x14ac:dyDescent="0.25">
      <c r="A21" s="47" t="s">
        <v>2</v>
      </c>
      <c r="B21" s="47"/>
      <c r="C21" s="47"/>
      <c r="D21" s="6">
        <v>46047</v>
      </c>
      <c r="E21" s="6">
        <v>46048</v>
      </c>
      <c r="F21" s="19">
        <v>46049</v>
      </c>
      <c r="G21" s="6">
        <v>46050</v>
      </c>
      <c r="H21" s="6">
        <v>46051</v>
      </c>
      <c r="I21" s="6">
        <v>46052</v>
      </c>
      <c r="J21" s="6">
        <v>46053</v>
      </c>
      <c r="K21" s="6">
        <v>46054</v>
      </c>
      <c r="L21" s="6">
        <v>46055</v>
      </c>
      <c r="M21" s="6">
        <v>46056</v>
      </c>
      <c r="N21" s="6">
        <v>46057</v>
      </c>
      <c r="O21" s="6">
        <v>46058</v>
      </c>
      <c r="P21" s="6">
        <v>46059</v>
      </c>
      <c r="Q21" s="6">
        <v>46060</v>
      </c>
      <c r="R21" s="6">
        <v>46061</v>
      </c>
      <c r="S21" s="6">
        <v>46062</v>
      </c>
      <c r="T21" s="6">
        <v>46063</v>
      </c>
      <c r="U21" s="6">
        <v>46064</v>
      </c>
      <c r="V21" s="6">
        <v>46065</v>
      </c>
      <c r="W21" s="6">
        <v>46066</v>
      </c>
      <c r="X21" s="6">
        <v>46067</v>
      </c>
      <c r="Y21" s="6">
        <v>46068</v>
      </c>
      <c r="Z21" s="6">
        <v>46069</v>
      </c>
      <c r="AA21" s="7">
        <v>46070</v>
      </c>
      <c r="AB21" s="7">
        <v>46071</v>
      </c>
      <c r="AC21" s="7">
        <v>46072</v>
      </c>
      <c r="AD21" s="7">
        <v>46073</v>
      </c>
      <c r="AE21" s="2"/>
    </row>
    <row r="22" spans="1:31" x14ac:dyDescent="0.25">
      <c r="C22" t="s">
        <v>21</v>
      </c>
      <c r="D22" s="23"/>
      <c r="E22" s="32">
        <f>(E25+E23)/7.5</f>
        <v>31.384</v>
      </c>
      <c r="F22" s="32">
        <f t="shared" ref="F22:I22" si="12">(F25+F23)/7.5</f>
        <v>21.333333333333332</v>
      </c>
      <c r="G22" s="32">
        <f t="shared" si="12"/>
        <v>29.066666666666666</v>
      </c>
      <c r="H22" s="32">
        <f t="shared" si="12"/>
        <v>29.066666666666666</v>
      </c>
      <c r="I22" s="32">
        <f t="shared" si="12"/>
        <v>21.333333333333332</v>
      </c>
      <c r="J22" s="5"/>
      <c r="K22" s="5"/>
      <c r="L22" s="32">
        <f>(L25+L23)/7.5</f>
        <v>21.333333333333332</v>
      </c>
      <c r="M22" s="32">
        <f t="shared" ref="M22" si="13">(M25+M23)/7.5</f>
        <v>21.333333333333332</v>
      </c>
      <c r="N22" s="32">
        <f t="shared" ref="N22" si="14">(N25+N23)/7.5</f>
        <v>21.333333333333332</v>
      </c>
      <c r="O22" s="32">
        <f t="shared" ref="O22" si="15">(O25+O23)/7.5</f>
        <v>21.333333333333332</v>
      </c>
      <c r="P22" s="32">
        <f t="shared" ref="P22" si="16">(P25+P23)/7.5</f>
        <v>13.333333333333334</v>
      </c>
      <c r="Q22" s="5"/>
      <c r="R22" s="5"/>
      <c r="S22" s="32">
        <f>(S25+S23)/7.5</f>
        <v>13.333333333333334</v>
      </c>
      <c r="T22" s="32">
        <f t="shared" ref="T22" si="17">(T25+T23)/7.5</f>
        <v>13.333333333333334</v>
      </c>
      <c r="U22" s="32">
        <f t="shared" ref="U22" si="18">(U25+U23)/7.5</f>
        <v>13.333333333333334</v>
      </c>
      <c r="V22" s="32">
        <f t="shared" ref="V22" si="19">(V25+V23)/7.5</f>
        <v>13.333333333333334</v>
      </c>
      <c r="W22" s="32">
        <f t="shared" ref="W22" si="20">(W25+W23)/7.5</f>
        <v>13.333333333333334</v>
      </c>
      <c r="X22" s="5"/>
      <c r="Y22" s="5"/>
      <c r="Z22" s="32">
        <f t="shared" ref="Z22:AB22" si="21">Z23/7.5</f>
        <v>13.333333333333334</v>
      </c>
      <c r="AA22" s="32">
        <f t="shared" si="21"/>
        <v>13.333333333333334</v>
      </c>
      <c r="AB22" s="32">
        <f t="shared" si="21"/>
        <v>6.4</v>
      </c>
      <c r="AC22" s="23"/>
      <c r="AD22" s="23"/>
      <c r="AE22" s="5"/>
    </row>
    <row r="23" spans="1:31" x14ac:dyDescent="0.25">
      <c r="A23" s="12" t="s">
        <v>16</v>
      </c>
      <c r="B23" s="13"/>
      <c r="C23" s="20" t="s">
        <v>15</v>
      </c>
      <c r="D23" s="18"/>
      <c r="E23" s="24">
        <v>176.82</v>
      </c>
      <c r="F23" s="18">
        <v>160</v>
      </c>
      <c r="G23" s="18">
        <v>160</v>
      </c>
      <c r="H23" s="18">
        <v>160</v>
      </c>
      <c r="I23" s="18">
        <v>160</v>
      </c>
      <c r="J23" s="18"/>
      <c r="K23" s="18"/>
      <c r="L23" s="18">
        <v>160</v>
      </c>
      <c r="M23" s="18">
        <v>160</v>
      </c>
      <c r="N23" s="18">
        <v>160</v>
      </c>
      <c r="O23" s="18">
        <v>160</v>
      </c>
      <c r="P23" s="18">
        <v>100</v>
      </c>
      <c r="Q23" s="18"/>
      <c r="R23" s="18"/>
      <c r="S23" s="18">
        <v>100</v>
      </c>
      <c r="T23" s="18">
        <v>100</v>
      </c>
      <c r="U23" s="18">
        <v>100</v>
      </c>
      <c r="V23" s="18">
        <v>100</v>
      </c>
      <c r="W23" s="18">
        <v>100</v>
      </c>
      <c r="X23" s="18"/>
      <c r="Y23" s="18"/>
      <c r="Z23" s="18">
        <v>100</v>
      </c>
      <c r="AA23" s="18">
        <v>100</v>
      </c>
      <c r="AB23" s="18">
        <v>48</v>
      </c>
      <c r="AC23" s="18"/>
      <c r="AD23" s="18"/>
      <c r="AE23" s="28"/>
    </row>
    <row r="24" spans="1:31" x14ac:dyDescent="0.25">
      <c r="A24" s="12" t="s">
        <v>16</v>
      </c>
      <c r="B24" s="13">
        <v>2</v>
      </c>
      <c r="C24" s="20" t="s">
        <v>17</v>
      </c>
      <c r="D24" s="18"/>
      <c r="E24" s="24">
        <v>108</v>
      </c>
      <c r="F24" s="24">
        <v>80</v>
      </c>
      <c r="G24" s="24">
        <f>G23/$B$24</f>
        <v>80</v>
      </c>
      <c r="H24" s="24">
        <f>H23/$B$24</f>
        <v>80</v>
      </c>
      <c r="I24" s="24">
        <f t="shared" ref="I24" si="22">I23/$B$24</f>
        <v>80</v>
      </c>
      <c r="J24" s="18"/>
      <c r="K24" s="18"/>
      <c r="L24" s="24">
        <f t="shared" ref="L24" si="23">L23/$B$24</f>
        <v>80</v>
      </c>
      <c r="M24" s="24">
        <f t="shared" ref="M24" si="24">M23/$B$24</f>
        <v>80</v>
      </c>
      <c r="N24" s="24">
        <f t="shared" ref="N24" si="25">N23/$B$24</f>
        <v>80</v>
      </c>
      <c r="O24" s="24">
        <f t="shared" ref="O24" si="26">O23/$B$24</f>
        <v>80</v>
      </c>
      <c r="P24" s="24">
        <f t="shared" ref="P24" si="27">P23/$B$24</f>
        <v>50</v>
      </c>
      <c r="Q24" s="18"/>
      <c r="R24" s="18"/>
      <c r="S24" s="24">
        <f t="shared" ref="S24" si="28">S23/$B$24</f>
        <v>50</v>
      </c>
      <c r="T24" s="24">
        <f t="shared" ref="T24" si="29">T23/$B$24</f>
        <v>50</v>
      </c>
      <c r="U24" s="24">
        <f t="shared" ref="U24" si="30">U23/$B$24</f>
        <v>50</v>
      </c>
      <c r="V24" s="24">
        <f t="shared" ref="V24" si="31">V23/$B$24</f>
        <v>50</v>
      </c>
      <c r="W24" s="24">
        <f t="shared" ref="W24" si="32">W23/$B$24</f>
        <v>50</v>
      </c>
      <c r="X24" s="18"/>
      <c r="Y24" s="18"/>
      <c r="Z24" s="24">
        <f t="shared" ref="Z24" si="33">Z23/$B$24</f>
        <v>50</v>
      </c>
      <c r="AA24" s="24">
        <f t="shared" ref="AA24" si="34">AA23/$B$24</f>
        <v>50</v>
      </c>
      <c r="AB24" s="24">
        <f t="shared" ref="AB24" si="35">AB23/$B$24</f>
        <v>24</v>
      </c>
      <c r="AC24" s="24">
        <f t="shared" ref="AC24" si="36">AC23/$B$24</f>
        <v>0</v>
      </c>
      <c r="AD24" s="24"/>
      <c r="AE24" s="28"/>
    </row>
    <row r="25" spans="1:31" x14ac:dyDescent="0.25">
      <c r="A25" s="2" t="s">
        <v>9</v>
      </c>
      <c r="C25" s="21" t="s">
        <v>15</v>
      </c>
      <c r="D25" s="16"/>
      <c r="E25" s="25">
        <v>58.56</v>
      </c>
      <c r="F25" s="16"/>
      <c r="G25" s="16">
        <v>58</v>
      </c>
      <c r="H25" s="16">
        <v>58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25"/>
    </row>
    <row r="26" spans="1:31" x14ac:dyDescent="0.25">
      <c r="A26" s="2" t="s">
        <v>9</v>
      </c>
      <c r="B26" s="3">
        <v>16</v>
      </c>
      <c r="C26" s="21" t="s">
        <v>18</v>
      </c>
      <c r="D26" s="16"/>
      <c r="E26" s="25">
        <v>407</v>
      </c>
      <c r="F26" s="25">
        <f>F25*$B$26</f>
        <v>0</v>
      </c>
      <c r="G26" s="25">
        <f t="shared" ref="G26:I26" si="37">G25*$B$26</f>
        <v>928</v>
      </c>
      <c r="H26" s="25">
        <f t="shared" si="37"/>
        <v>928</v>
      </c>
      <c r="I26" s="25">
        <f t="shared" si="37"/>
        <v>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25"/>
    </row>
    <row r="27" spans="1:31" x14ac:dyDescent="0.25">
      <c r="A27" s="2" t="s">
        <v>19</v>
      </c>
      <c r="B27" s="3"/>
      <c r="C27" s="22"/>
      <c r="D27" s="16"/>
      <c r="E27" s="26">
        <f>(D27+E24)-E30</f>
        <v>108</v>
      </c>
      <c r="F27" s="27">
        <f>(E27+F24)-F30</f>
        <v>128</v>
      </c>
      <c r="G27" s="27">
        <f>(F27+G24)-G30</f>
        <v>148</v>
      </c>
      <c r="H27" s="27">
        <f>(G27+H24)-H30</f>
        <v>158</v>
      </c>
      <c r="I27" s="27">
        <f>(H27+I24)-I30</f>
        <v>168</v>
      </c>
      <c r="J27" s="27"/>
      <c r="K27" s="27"/>
      <c r="L27" s="27">
        <f>(I27+L24)-L30</f>
        <v>178</v>
      </c>
      <c r="M27" s="27">
        <f>(L27+M24)-M30</f>
        <v>152</v>
      </c>
      <c r="N27" s="27">
        <f>(M27+N24)-N30</f>
        <v>172</v>
      </c>
      <c r="O27" s="27">
        <f>(N27+O24)-O30</f>
        <v>177</v>
      </c>
      <c r="P27" s="27">
        <f>(O27+P24)-P30</f>
        <v>167</v>
      </c>
      <c r="Q27" s="27"/>
      <c r="R27" s="27"/>
      <c r="S27" s="27">
        <f>(P27+S24)-S30</f>
        <v>149</v>
      </c>
      <c r="T27" s="27">
        <f>(S27+T24)-T30</f>
        <v>139</v>
      </c>
      <c r="U27" s="27">
        <f>(T27+U24)-U30</f>
        <v>129</v>
      </c>
      <c r="V27" s="27">
        <f>(U27+V24)-V30</f>
        <v>119</v>
      </c>
      <c r="W27" s="27">
        <f>(V27+W24)-W30</f>
        <v>109</v>
      </c>
      <c r="X27" s="27"/>
      <c r="Y27" s="27"/>
      <c r="Z27" s="27">
        <f>(W27+Z24)-Z30</f>
        <v>99</v>
      </c>
      <c r="AA27" s="27">
        <f>(Z27+AA24)-AA30</f>
        <v>89</v>
      </c>
      <c r="AB27" s="27">
        <f>(AA27+AB24)-AB30</f>
        <v>81</v>
      </c>
      <c r="AC27" s="27">
        <f>(AB27+AC24)-AC30</f>
        <v>52</v>
      </c>
      <c r="AD27" s="27"/>
      <c r="AE27" s="25"/>
    </row>
    <row r="28" spans="1:31" x14ac:dyDescent="0.25">
      <c r="A28" s="12" t="s">
        <v>24</v>
      </c>
      <c r="B28" s="13"/>
      <c r="C28" s="20" t="s">
        <v>15</v>
      </c>
      <c r="D28" s="18"/>
      <c r="E28" s="24">
        <f>E29/$B$29</f>
        <v>18</v>
      </c>
      <c r="F28" s="24">
        <f t="shared" ref="F28:I28" si="38">F29/$B$29</f>
        <v>13.333333333333334</v>
      </c>
      <c r="G28" s="24">
        <f t="shared" si="38"/>
        <v>13.333333333333334</v>
      </c>
      <c r="H28" s="24">
        <f t="shared" si="38"/>
        <v>13.333333333333334</v>
      </c>
      <c r="I28" s="24">
        <f t="shared" si="38"/>
        <v>13.333333333333334</v>
      </c>
      <c r="J28" s="24"/>
      <c r="K28" s="24"/>
      <c r="L28" s="24">
        <f t="shared" ref="L28" si="39">L29/$B$29</f>
        <v>13.333333333333334</v>
      </c>
      <c r="M28" s="24">
        <f t="shared" ref="M28" si="40">M29/$B$29</f>
        <v>13.333333333333334</v>
      </c>
      <c r="N28" s="24">
        <f t="shared" ref="N28:O28" si="41">N29/$B$29</f>
        <v>13.333333333333334</v>
      </c>
      <c r="O28" s="24">
        <f t="shared" si="41"/>
        <v>13.333333333333334</v>
      </c>
      <c r="P28" s="24">
        <f t="shared" ref="P28" si="42">P29/$B$29</f>
        <v>8.3333333333333339</v>
      </c>
      <c r="Q28" s="24"/>
      <c r="R28" s="24"/>
      <c r="S28" s="24">
        <f t="shared" ref="S28:T28" si="43">S29/$B$29</f>
        <v>8.3333333333333339</v>
      </c>
      <c r="T28" s="24">
        <f t="shared" si="43"/>
        <v>8.3333333333333339</v>
      </c>
      <c r="U28" s="24">
        <f t="shared" ref="U28" si="44">U29/$B$29</f>
        <v>8.3333333333333339</v>
      </c>
      <c r="V28" s="24">
        <f t="shared" ref="V28" si="45">V29/$B$29</f>
        <v>8.3333333333333339</v>
      </c>
      <c r="W28" s="24">
        <f t="shared" ref="W28" si="46">W29/$B$29</f>
        <v>8.3333333333333339</v>
      </c>
      <c r="X28" s="24"/>
      <c r="Y28" s="24"/>
      <c r="Z28" s="24">
        <f t="shared" ref="Z28" si="47">Z29/$B$29</f>
        <v>8.3333333333333339</v>
      </c>
      <c r="AA28" s="24">
        <f t="shared" ref="AA28" si="48">AA29/$B$29</f>
        <v>8.3333333333333339</v>
      </c>
      <c r="AB28" s="24">
        <f t="shared" ref="AB28" si="49">AB29/$B$29</f>
        <v>4</v>
      </c>
      <c r="AC28" s="24"/>
      <c r="AD28" s="31"/>
      <c r="AE28" s="28"/>
    </row>
    <row r="29" spans="1:31" x14ac:dyDescent="0.25">
      <c r="A29" s="12" t="s">
        <v>24</v>
      </c>
      <c r="B29" s="13">
        <v>6</v>
      </c>
      <c r="C29" s="20" t="s">
        <v>25</v>
      </c>
      <c r="D29" s="18"/>
      <c r="E29" s="24">
        <f>E24</f>
        <v>108</v>
      </c>
      <c r="F29" s="24">
        <f t="shared" ref="F29:AB29" si="50">F24</f>
        <v>80</v>
      </c>
      <c r="G29" s="24">
        <f t="shared" si="50"/>
        <v>80</v>
      </c>
      <c r="H29" s="24">
        <f t="shared" si="50"/>
        <v>80</v>
      </c>
      <c r="I29" s="24">
        <f t="shared" si="50"/>
        <v>80</v>
      </c>
      <c r="J29" s="24"/>
      <c r="K29" s="24"/>
      <c r="L29" s="24">
        <f t="shared" si="50"/>
        <v>80</v>
      </c>
      <c r="M29" s="24">
        <f t="shared" si="50"/>
        <v>80</v>
      </c>
      <c r="N29" s="24">
        <f t="shared" si="50"/>
        <v>80</v>
      </c>
      <c r="O29" s="24">
        <f t="shared" si="50"/>
        <v>80</v>
      </c>
      <c r="P29" s="24">
        <f t="shared" si="50"/>
        <v>50</v>
      </c>
      <c r="Q29" s="24"/>
      <c r="R29" s="24"/>
      <c r="S29" s="24">
        <f t="shared" si="50"/>
        <v>50</v>
      </c>
      <c r="T29" s="24">
        <f t="shared" si="50"/>
        <v>50</v>
      </c>
      <c r="U29" s="24">
        <f t="shared" si="50"/>
        <v>50</v>
      </c>
      <c r="V29" s="24">
        <f t="shared" si="50"/>
        <v>50</v>
      </c>
      <c r="W29" s="24">
        <f t="shared" si="50"/>
        <v>50</v>
      </c>
      <c r="X29" s="24"/>
      <c r="Y29" s="24"/>
      <c r="Z29" s="24">
        <f t="shared" si="50"/>
        <v>50</v>
      </c>
      <c r="AA29" s="24">
        <f t="shared" si="50"/>
        <v>50</v>
      </c>
      <c r="AB29" s="24">
        <f t="shared" si="50"/>
        <v>24</v>
      </c>
      <c r="AC29" s="24"/>
      <c r="AD29" s="31"/>
      <c r="AE29" s="28"/>
    </row>
    <row r="30" spans="1:31" x14ac:dyDescent="0.25">
      <c r="A30" s="11" t="s">
        <v>10</v>
      </c>
      <c r="B30" s="3"/>
      <c r="C30" s="22">
        <f>SUM(D30:AE30)</f>
        <v>1120</v>
      </c>
      <c r="D30" s="16"/>
      <c r="E30" s="25"/>
      <c r="F30" s="16">
        <v>60</v>
      </c>
      <c r="G30" s="16">
        <v>60</v>
      </c>
      <c r="H30" s="16">
        <v>70</v>
      </c>
      <c r="I30" s="16">
        <v>70</v>
      </c>
      <c r="J30" s="16"/>
      <c r="K30" s="16"/>
      <c r="L30" s="16">
        <v>70</v>
      </c>
      <c r="M30" s="16">
        <v>106</v>
      </c>
      <c r="N30" s="16">
        <v>60</v>
      </c>
      <c r="O30" s="16">
        <v>75</v>
      </c>
      <c r="P30" s="16">
        <v>60</v>
      </c>
      <c r="Q30" s="16"/>
      <c r="R30" s="16"/>
      <c r="S30" s="16">
        <v>68</v>
      </c>
      <c r="T30" s="16">
        <v>60</v>
      </c>
      <c r="U30" s="16">
        <v>60</v>
      </c>
      <c r="V30" s="16">
        <v>60</v>
      </c>
      <c r="W30" s="16">
        <v>60</v>
      </c>
      <c r="X30" s="16"/>
      <c r="Y30" s="16"/>
      <c r="Z30" s="16">
        <v>60</v>
      </c>
      <c r="AA30" s="16">
        <v>60</v>
      </c>
      <c r="AB30" s="16">
        <v>32</v>
      </c>
      <c r="AC30" s="16">
        <v>29</v>
      </c>
      <c r="AD30" s="16"/>
      <c r="AE30" s="25"/>
    </row>
    <row r="31" spans="1:31" x14ac:dyDescent="0.25">
      <c r="A31" s="11" t="s">
        <v>11</v>
      </c>
      <c r="B31" s="3"/>
      <c r="C31" s="22">
        <f>SUM(D31:AE31)</f>
        <v>0</v>
      </c>
      <c r="D31" s="29"/>
      <c r="E31" s="4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4"/>
    </row>
    <row r="32" spans="1:31" x14ac:dyDescent="0.25">
      <c r="A32" s="30"/>
      <c r="B32" s="9"/>
      <c r="C32" s="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5.75" thickBot="1" x14ac:dyDescent="0.3">
      <c r="A33" s="30"/>
      <c r="B33" s="9"/>
      <c r="C33" s="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x14ac:dyDescent="0.25">
      <c r="A34" s="48" t="s">
        <v>3</v>
      </c>
      <c r="B34" s="49"/>
      <c r="C34" s="50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1" x14ac:dyDescent="0.25">
      <c r="C35" t="s">
        <v>21</v>
      </c>
      <c r="D35" s="23"/>
      <c r="E35" s="32">
        <f>(E36+E38)/7.5</f>
        <v>27.3</v>
      </c>
      <c r="F35" s="32">
        <f t="shared" ref="F35:I35" si="51">(F36+F38)/7.5</f>
        <v>22.4</v>
      </c>
      <c r="G35" s="32">
        <f t="shared" si="51"/>
        <v>22.4</v>
      </c>
      <c r="H35" s="32">
        <f t="shared" si="51"/>
        <v>22.4</v>
      </c>
      <c r="I35" s="32">
        <f t="shared" si="51"/>
        <v>22.4</v>
      </c>
      <c r="J35" s="23"/>
      <c r="K35" s="23"/>
      <c r="L35" s="32">
        <f>(L36+L38)/7.5</f>
        <v>22.066666666666666</v>
      </c>
      <c r="M35" s="32">
        <f t="shared" ref="M35" si="52">(M36+M38)/7.5</f>
        <v>21.066666666666666</v>
      </c>
      <c r="N35" s="32">
        <f t="shared" ref="N35" si="53">(N36+N38)/7.5</f>
        <v>21.066666666666666</v>
      </c>
      <c r="O35" s="32">
        <f t="shared" ref="O35" si="54">(O36+O38)/7.5</f>
        <v>21.066666666666666</v>
      </c>
      <c r="P35" s="32">
        <f t="shared" ref="P35" si="55">(P36+P38)/7.5</f>
        <v>15.2</v>
      </c>
      <c r="Q35" s="23"/>
      <c r="R35" s="23"/>
      <c r="S35" s="32">
        <f>S36/7.5</f>
        <v>0</v>
      </c>
      <c r="T35" s="32">
        <f t="shared" ref="T35" si="56">T36/7.5</f>
        <v>0</v>
      </c>
      <c r="U35" s="32">
        <f t="shared" ref="U35" si="57">U36/7.5</f>
        <v>0</v>
      </c>
      <c r="V35" s="32">
        <f t="shared" ref="V35" si="58">V36/7.5</f>
        <v>0</v>
      </c>
      <c r="W35" s="32"/>
      <c r="X35" s="23"/>
      <c r="Y35" s="23"/>
      <c r="Z35" s="23"/>
      <c r="AA35" s="23"/>
      <c r="AB35" s="23"/>
      <c r="AC35" s="23"/>
      <c r="AD35" s="23"/>
      <c r="AE35" s="5"/>
    </row>
    <row r="36" spans="1:31" x14ac:dyDescent="0.25">
      <c r="A36" s="12" t="s">
        <v>16</v>
      </c>
      <c r="B36" s="13"/>
      <c r="C36" s="20" t="s">
        <v>15</v>
      </c>
      <c r="D36" s="18"/>
      <c r="E36" s="18">
        <v>160.83000000000001</v>
      </c>
      <c r="F36" s="18">
        <v>140</v>
      </c>
      <c r="G36" s="18">
        <v>140</v>
      </c>
      <c r="H36" s="18">
        <v>140</v>
      </c>
      <c r="I36" s="18">
        <v>140</v>
      </c>
      <c r="J36" s="18"/>
      <c r="K36" s="18"/>
      <c r="L36" s="18">
        <v>137.5</v>
      </c>
      <c r="M36" s="18">
        <v>130</v>
      </c>
      <c r="N36" s="18">
        <v>130</v>
      </c>
      <c r="O36" s="18">
        <v>130</v>
      </c>
      <c r="P36" s="18">
        <v>86</v>
      </c>
      <c r="Q36" s="18"/>
      <c r="R36" s="18"/>
      <c r="S36" s="18">
        <v>0</v>
      </c>
      <c r="T36" s="18">
        <v>0</v>
      </c>
      <c r="U36" s="18">
        <v>0</v>
      </c>
      <c r="V36" s="18">
        <v>0</v>
      </c>
      <c r="W36" s="18"/>
      <c r="X36" s="18"/>
      <c r="Y36" s="18"/>
      <c r="Z36" s="18"/>
      <c r="AA36" s="18"/>
      <c r="AB36" s="18"/>
      <c r="AC36" s="18"/>
      <c r="AD36" s="18"/>
      <c r="AE36" s="28"/>
    </row>
    <row r="37" spans="1:31" x14ac:dyDescent="0.25">
      <c r="A37" s="12" t="s">
        <v>16</v>
      </c>
      <c r="B37" s="13">
        <v>0.65</v>
      </c>
      <c r="C37" s="20" t="s">
        <v>17</v>
      </c>
      <c r="D37" s="18"/>
      <c r="E37" s="31">
        <v>182</v>
      </c>
      <c r="F37" s="31">
        <v>215</v>
      </c>
      <c r="G37" s="31">
        <f t="shared" ref="G37:I37" si="59">G36/$B$37</f>
        <v>215.38461538461539</v>
      </c>
      <c r="H37" s="31">
        <f t="shared" si="59"/>
        <v>215.38461538461539</v>
      </c>
      <c r="I37" s="31">
        <f t="shared" si="59"/>
        <v>215.38461538461539</v>
      </c>
      <c r="J37" s="18"/>
      <c r="K37" s="18"/>
      <c r="L37" s="31">
        <f>L36/$B$37</f>
        <v>211.53846153846152</v>
      </c>
      <c r="M37" s="31">
        <f t="shared" ref="M37" si="60">M36/$B$37</f>
        <v>200</v>
      </c>
      <c r="N37" s="31">
        <f t="shared" ref="N37" si="61">N36/$B$37</f>
        <v>200</v>
      </c>
      <c r="O37" s="31">
        <f t="shared" ref="O37" si="62">O36/$B$37</f>
        <v>200</v>
      </c>
      <c r="P37" s="31">
        <f t="shared" ref="P37" si="63">P36/$B$37</f>
        <v>132.30769230769229</v>
      </c>
      <c r="Q37" s="18"/>
      <c r="R37" s="18"/>
      <c r="S37" s="31">
        <f t="shared" ref="S37" si="64">S36/$B$37</f>
        <v>0</v>
      </c>
      <c r="T37" s="31">
        <f t="shared" ref="T37" si="65">T36/$B$37</f>
        <v>0</v>
      </c>
      <c r="U37" s="31">
        <f t="shared" ref="U37:V37" si="66">U36/$B$37</f>
        <v>0</v>
      </c>
      <c r="V37" s="31">
        <f t="shared" si="66"/>
        <v>0</v>
      </c>
      <c r="W37" s="18"/>
      <c r="X37" s="18"/>
      <c r="Y37" s="18"/>
      <c r="Z37" s="18"/>
      <c r="AA37" s="18"/>
      <c r="AB37" s="18"/>
      <c r="AC37" s="18"/>
      <c r="AD37" s="18"/>
      <c r="AE37" s="28"/>
    </row>
    <row r="38" spans="1:31" x14ac:dyDescent="0.25">
      <c r="A38" s="2" t="s">
        <v>9</v>
      </c>
      <c r="C38" s="21" t="s">
        <v>15</v>
      </c>
      <c r="D38" s="16"/>
      <c r="E38" s="16">
        <v>43.92</v>
      </c>
      <c r="F38" s="16">
        <f t="shared" ref="F38:I38" si="67">4*7</f>
        <v>28</v>
      </c>
      <c r="G38" s="16">
        <f t="shared" si="67"/>
        <v>28</v>
      </c>
      <c r="H38" s="16">
        <f t="shared" si="67"/>
        <v>28</v>
      </c>
      <c r="I38" s="16">
        <f t="shared" si="67"/>
        <v>28</v>
      </c>
      <c r="J38" s="16"/>
      <c r="K38" s="16"/>
      <c r="L38" s="16">
        <f>4*7</f>
        <v>28</v>
      </c>
      <c r="M38" s="16">
        <f t="shared" ref="M38:P38" si="68">4*7</f>
        <v>28</v>
      </c>
      <c r="N38" s="16">
        <f t="shared" si="68"/>
        <v>28</v>
      </c>
      <c r="O38" s="16">
        <f t="shared" si="68"/>
        <v>28</v>
      </c>
      <c r="P38" s="16">
        <f t="shared" si="68"/>
        <v>28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25"/>
    </row>
    <row r="39" spans="1:31" x14ac:dyDescent="0.25">
      <c r="A39" s="2" t="s">
        <v>9</v>
      </c>
      <c r="B39" s="3">
        <v>0.08</v>
      </c>
      <c r="C39" s="21" t="s">
        <v>18</v>
      </c>
      <c r="D39" s="16"/>
      <c r="E39" s="16">
        <v>224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25"/>
    </row>
    <row r="40" spans="1:31" x14ac:dyDescent="0.25">
      <c r="A40" s="2" t="s">
        <v>20</v>
      </c>
      <c r="B40" s="3"/>
      <c r="C40" s="22"/>
      <c r="D40" s="16">
        <v>627</v>
      </c>
      <c r="E40" s="27">
        <f>(D40+E37)-E43</f>
        <v>629</v>
      </c>
      <c r="F40" s="27">
        <f t="shared" ref="F40:I40" si="69">(E40+F37)-F43</f>
        <v>664</v>
      </c>
      <c r="G40" s="27">
        <f t="shared" si="69"/>
        <v>699.38461538461536</v>
      </c>
      <c r="H40" s="27">
        <f t="shared" si="69"/>
        <v>734.76923076923072</v>
      </c>
      <c r="I40" s="27">
        <f t="shared" si="69"/>
        <v>720.15384615384608</v>
      </c>
      <c r="J40" s="16"/>
      <c r="K40" s="16"/>
      <c r="L40" s="27">
        <f>(I40+L37)-L43</f>
        <v>751.69230769230762</v>
      </c>
      <c r="M40" s="27">
        <f t="shared" ref="M40" si="70">(L40+M37)-M43</f>
        <v>771.69230769230762</v>
      </c>
      <c r="N40" s="27">
        <f t="shared" ref="N40" si="71">(M40+N37)-N43</f>
        <v>791.69230769230762</v>
      </c>
      <c r="O40" s="27">
        <f t="shared" ref="O40" si="72">(N40+O37)-O43</f>
        <v>811.69230769230762</v>
      </c>
      <c r="P40" s="27">
        <f t="shared" ref="P40" si="73">(O40+P37)-P43</f>
        <v>763.99999999999989</v>
      </c>
      <c r="Q40" s="16"/>
      <c r="R40" s="16"/>
      <c r="S40" s="27">
        <f>(P40+S37)-S43</f>
        <v>583.99999999999989</v>
      </c>
      <c r="T40" s="27">
        <f t="shared" ref="T40:V40" si="74">(S40+T37)-T43</f>
        <v>403.99999999999989</v>
      </c>
      <c r="U40" s="27">
        <f t="shared" si="74"/>
        <v>223.99999999999989</v>
      </c>
      <c r="V40" s="27">
        <f t="shared" si="74"/>
        <v>94.999999999999886</v>
      </c>
      <c r="W40" s="16"/>
      <c r="X40" s="16"/>
      <c r="Y40" s="16"/>
      <c r="Z40" s="16"/>
      <c r="AA40" s="16"/>
      <c r="AB40" s="16"/>
      <c r="AC40" s="16"/>
      <c r="AD40" s="16"/>
      <c r="AE40" s="25"/>
    </row>
    <row r="41" spans="1:31" x14ac:dyDescent="0.25">
      <c r="A41" s="12" t="s">
        <v>24</v>
      </c>
      <c r="B41" s="13"/>
      <c r="C41" s="20" t="s">
        <v>15</v>
      </c>
      <c r="D41" s="18"/>
      <c r="E41" s="24">
        <f>E42/$B$42</f>
        <v>52</v>
      </c>
      <c r="F41" s="24">
        <f t="shared" ref="F41:P41" si="75">F42/$B$42</f>
        <v>61.428571428571431</v>
      </c>
      <c r="G41" s="24">
        <f t="shared" si="75"/>
        <v>61.53846153846154</v>
      </c>
      <c r="H41" s="24">
        <f t="shared" si="75"/>
        <v>61.53846153846154</v>
      </c>
      <c r="I41" s="24">
        <f t="shared" si="75"/>
        <v>61.53846153846154</v>
      </c>
      <c r="J41" s="24"/>
      <c r="K41" s="24"/>
      <c r="L41" s="24">
        <f t="shared" si="75"/>
        <v>60.439560439560431</v>
      </c>
      <c r="M41" s="24">
        <f t="shared" si="75"/>
        <v>57.142857142857146</v>
      </c>
      <c r="N41" s="24">
        <f t="shared" si="75"/>
        <v>57.142857142857146</v>
      </c>
      <c r="O41" s="24">
        <f t="shared" si="75"/>
        <v>57.142857142857146</v>
      </c>
      <c r="P41" s="24">
        <f t="shared" si="75"/>
        <v>37.802197802197796</v>
      </c>
      <c r="Q41" s="24"/>
      <c r="R41" s="24"/>
      <c r="S41" s="24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28"/>
    </row>
    <row r="42" spans="1:31" x14ac:dyDescent="0.25">
      <c r="A42" s="12" t="s">
        <v>24</v>
      </c>
      <c r="B42" s="13">
        <v>3.5</v>
      </c>
      <c r="C42" s="20" t="s">
        <v>25</v>
      </c>
      <c r="D42" s="18"/>
      <c r="E42" s="24">
        <f>E37</f>
        <v>182</v>
      </c>
      <c r="F42" s="24">
        <f t="shared" ref="F42:P42" si="76">F37</f>
        <v>215</v>
      </c>
      <c r="G42" s="24">
        <f t="shared" si="76"/>
        <v>215.38461538461539</v>
      </c>
      <c r="H42" s="24">
        <f t="shared" si="76"/>
        <v>215.38461538461539</v>
      </c>
      <c r="I42" s="24">
        <f t="shared" si="76"/>
        <v>215.38461538461539</v>
      </c>
      <c r="J42" s="24"/>
      <c r="K42" s="24"/>
      <c r="L42" s="24">
        <f t="shared" si="76"/>
        <v>211.53846153846152</v>
      </c>
      <c r="M42" s="24">
        <f t="shared" si="76"/>
        <v>200</v>
      </c>
      <c r="N42" s="24">
        <f t="shared" si="76"/>
        <v>200</v>
      </c>
      <c r="O42" s="24">
        <f t="shared" si="76"/>
        <v>200</v>
      </c>
      <c r="P42" s="24">
        <f t="shared" si="76"/>
        <v>132.30769230769229</v>
      </c>
      <c r="Q42" s="24"/>
      <c r="R42" s="24"/>
      <c r="S42" s="24"/>
      <c r="T42" s="24"/>
      <c r="U42" s="24"/>
      <c r="V42" s="24"/>
      <c r="W42" s="31"/>
      <c r="X42" s="31"/>
      <c r="Y42" s="31"/>
      <c r="Z42" s="31"/>
      <c r="AA42" s="31"/>
      <c r="AB42" s="31"/>
      <c r="AC42" s="31"/>
      <c r="AD42" s="31"/>
      <c r="AE42" s="28"/>
    </row>
    <row r="43" spans="1:31" x14ac:dyDescent="0.25">
      <c r="A43" s="11" t="s">
        <v>10</v>
      </c>
      <c r="B43" s="3"/>
      <c r="C43" s="22">
        <f>SUM(D43:AE43)</f>
        <v>2519</v>
      </c>
      <c r="D43" s="16"/>
      <c r="E43" s="16">
        <v>180</v>
      </c>
      <c r="F43" s="16">
        <v>180</v>
      </c>
      <c r="G43" s="16">
        <v>180</v>
      </c>
      <c r="H43" s="16">
        <v>180</v>
      </c>
      <c r="I43" s="16">
        <v>230</v>
      </c>
      <c r="J43" s="16"/>
      <c r="K43" s="16"/>
      <c r="L43" s="16">
        <v>180</v>
      </c>
      <c r="M43" s="16">
        <v>180</v>
      </c>
      <c r="N43" s="16">
        <v>180</v>
      </c>
      <c r="O43" s="16">
        <v>180</v>
      </c>
      <c r="P43" s="16">
        <v>180</v>
      </c>
      <c r="Q43" s="16"/>
      <c r="R43" s="16"/>
      <c r="S43" s="16">
        <v>180</v>
      </c>
      <c r="T43" s="16">
        <v>180</v>
      </c>
      <c r="U43" s="16">
        <v>180</v>
      </c>
      <c r="V43" s="16">
        <v>129</v>
      </c>
      <c r="W43" s="16"/>
      <c r="X43" s="16"/>
      <c r="Y43" s="16"/>
      <c r="Z43" s="16"/>
      <c r="AA43" s="16"/>
      <c r="AB43" s="16"/>
      <c r="AC43" s="16"/>
      <c r="AD43" s="16"/>
      <c r="AE43" s="25"/>
    </row>
    <row r="44" spans="1:31" x14ac:dyDescent="0.25">
      <c r="A44" s="11" t="s">
        <v>11</v>
      </c>
      <c r="B44" s="3"/>
      <c r="C44" s="22">
        <f>SUM(D44:AE44)</f>
        <v>0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4"/>
    </row>
    <row r="45" spans="1:31" x14ac:dyDescent="0.25">
      <c r="A45" s="8"/>
      <c r="B45" s="9"/>
      <c r="C45" s="9"/>
      <c r="D45" s="9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1" x14ac:dyDescent="0.25">
      <c r="A46" s="8"/>
      <c r="B46" s="9"/>
      <c r="C46" s="9"/>
      <c r="D46" s="9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1" ht="15.75" thickBot="1" x14ac:dyDescent="0.3">
      <c r="B47" s="1"/>
      <c r="D47" s="9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1" x14ac:dyDescent="0.25">
      <c r="A48" s="48" t="s">
        <v>4</v>
      </c>
      <c r="B48" s="49"/>
      <c r="C48" s="49"/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1:31" x14ac:dyDescent="0.25">
      <c r="C49" t="s">
        <v>21</v>
      </c>
      <c r="D49" s="5"/>
      <c r="E49" s="32">
        <f>E50/7.5</f>
        <v>21.088000000000001</v>
      </c>
      <c r="F49" s="32">
        <f t="shared" ref="F49" si="77">F50/7.5</f>
        <v>21.466666666666665</v>
      </c>
      <c r="G49" s="32">
        <f t="shared" ref="G49" si="78">G50/7.5</f>
        <v>21.466666666666665</v>
      </c>
      <c r="H49" s="32">
        <f t="shared" ref="H49" si="79">H50/7.5</f>
        <v>21.466666666666665</v>
      </c>
      <c r="I49" s="32">
        <f t="shared" ref="I49" si="80">I50/7.5</f>
        <v>21.466666666666665</v>
      </c>
      <c r="J49" s="23"/>
      <c r="K49" s="23"/>
      <c r="L49" s="32">
        <f>L50/7.5</f>
        <v>7.6</v>
      </c>
      <c r="M49" s="32">
        <f t="shared" ref="M49" si="81">M50/7.5</f>
        <v>0</v>
      </c>
      <c r="N49" s="32">
        <f t="shared" ref="N49" si="82">N50/7.5</f>
        <v>0</v>
      </c>
      <c r="O49" s="32">
        <f t="shared" ref="O49" si="83">O50/7.5</f>
        <v>0</v>
      </c>
      <c r="P49" s="32">
        <f t="shared" ref="P49" si="84">P50/7.5</f>
        <v>0</v>
      </c>
      <c r="Q49" s="23"/>
      <c r="R49" s="5"/>
      <c r="S49" s="32">
        <f>S50/7.5</f>
        <v>0</v>
      </c>
      <c r="T49" s="32">
        <f t="shared" ref="T49" si="85">T50/7.5</f>
        <v>0</v>
      </c>
      <c r="U49" s="32">
        <f t="shared" ref="U49" si="86">U50/7.5</f>
        <v>0</v>
      </c>
      <c r="V49" s="32">
        <f t="shared" ref="V49" si="87">V50/7.5</f>
        <v>0</v>
      </c>
      <c r="W49" s="32"/>
      <c r="X49" s="5"/>
      <c r="Y49" s="5"/>
      <c r="Z49" s="32">
        <f t="shared" ref="Z49" si="88">Z50/7.5</f>
        <v>0</v>
      </c>
      <c r="AA49" s="32">
        <f t="shared" ref="AA49" si="89">AA50/7.5</f>
        <v>0</v>
      </c>
      <c r="AB49" s="32">
        <f t="shared" ref="AB49" si="90">AB50/7.5</f>
        <v>0</v>
      </c>
      <c r="AC49" s="23"/>
      <c r="AD49" s="23"/>
      <c r="AE49" s="23"/>
    </row>
    <row r="50" spans="1:31" x14ac:dyDescent="0.25">
      <c r="A50" s="12" t="s">
        <v>16</v>
      </c>
      <c r="B50" s="13"/>
      <c r="C50" s="20" t="s">
        <v>15</v>
      </c>
      <c r="D50" s="18"/>
      <c r="E50" s="31">
        <v>158.16</v>
      </c>
      <c r="F50" s="18">
        <v>161</v>
      </c>
      <c r="G50" s="18">
        <v>161</v>
      </c>
      <c r="H50" s="28">
        <v>161</v>
      </c>
      <c r="I50" s="18">
        <v>161</v>
      </c>
      <c r="J50" s="28"/>
      <c r="K50" s="28"/>
      <c r="L50" s="28">
        <v>57</v>
      </c>
      <c r="M50" s="28">
        <v>0</v>
      </c>
      <c r="N50" s="28">
        <v>0</v>
      </c>
      <c r="O50" s="28">
        <v>0</v>
      </c>
      <c r="P50" s="18">
        <v>0</v>
      </c>
      <c r="Q50" s="28"/>
      <c r="R50" s="18"/>
      <c r="S50" s="28">
        <v>0</v>
      </c>
      <c r="T50" s="18">
        <v>0</v>
      </c>
      <c r="U50" s="18">
        <v>0</v>
      </c>
      <c r="V50" s="18">
        <v>0</v>
      </c>
      <c r="W50" s="28"/>
      <c r="X50" s="18"/>
      <c r="Y50" s="18"/>
      <c r="Z50" s="18"/>
      <c r="AA50" s="28"/>
      <c r="AB50" s="18"/>
      <c r="AC50" s="28"/>
      <c r="AD50" s="31"/>
      <c r="AE50" s="28"/>
    </row>
    <row r="51" spans="1:31" x14ac:dyDescent="0.25">
      <c r="A51" s="12" t="s">
        <v>16</v>
      </c>
      <c r="B51" s="13">
        <v>0.75</v>
      </c>
      <c r="C51" s="20" t="s">
        <v>17</v>
      </c>
      <c r="D51" s="18"/>
      <c r="E51" s="31">
        <v>126</v>
      </c>
      <c r="F51" s="31">
        <v>215</v>
      </c>
      <c r="G51" s="31">
        <f t="shared" ref="G51:I51" si="91">G50/$B$51</f>
        <v>214.66666666666666</v>
      </c>
      <c r="H51" s="31">
        <f t="shared" si="91"/>
        <v>214.66666666666666</v>
      </c>
      <c r="I51" s="31">
        <f t="shared" si="91"/>
        <v>214.66666666666666</v>
      </c>
      <c r="J51" s="31"/>
      <c r="K51" s="31"/>
      <c r="L51" s="31">
        <f>L50/$B$51</f>
        <v>76</v>
      </c>
      <c r="M51" s="31">
        <f t="shared" ref="M51" si="92">M50/$B$51</f>
        <v>0</v>
      </c>
      <c r="N51" s="31">
        <f t="shared" ref="N51" si="93">N50/$B$51</f>
        <v>0</v>
      </c>
      <c r="O51" s="31">
        <f t="shared" ref="O51" si="94">O50/$B$51</f>
        <v>0</v>
      </c>
      <c r="P51" s="31">
        <f t="shared" ref="P51" si="95">P50/$B$51</f>
        <v>0</v>
      </c>
      <c r="Q51" s="31"/>
      <c r="R51" s="31"/>
      <c r="S51" s="31">
        <f t="shared" ref="S51" si="96">S50/$B$51</f>
        <v>0</v>
      </c>
      <c r="T51" s="31">
        <f t="shared" ref="T51" si="97">T50/$B$51</f>
        <v>0</v>
      </c>
      <c r="U51" s="31">
        <f t="shared" ref="U51" si="98">U50/$B$51</f>
        <v>0</v>
      </c>
      <c r="V51" s="31">
        <f t="shared" ref="V51" si="99">V50/$B$51</f>
        <v>0</v>
      </c>
      <c r="W51" s="31"/>
      <c r="X51" s="31"/>
      <c r="Y51" s="31"/>
      <c r="Z51" s="31">
        <f t="shared" ref="Z51" si="100">Z50/$B$51</f>
        <v>0</v>
      </c>
      <c r="AA51" s="31">
        <f t="shared" ref="AA51" si="101">AA50/$B$51</f>
        <v>0</v>
      </c>
      <c r="AB51" s="31">
        <f t="shared" ref="AB51" si="102">AB50/$B$51</f>
        <v>0</v>
      </c>
      <c r="AC51" s="31"/>
      <c r="AD51" s="31"/>
      <c r="AE51" s="28"/>
    </row>
    <row r="52" spans="1:31" x14ac:dyDescent="0.25">
      <c r="A52" s="2" t="s">
        <v>20</v>
      </c>
      <c r="B52" s="3"/>
      <c r="C52" s="22"/>
      <c r="D52" s="43">
        <v>267</v>
      </c>
      <c r="E52" s="44">
        <f>(D52+E51)-E55</f>
        <v>349</v>
      </c>
      <c r="F52" s="44">
        <f>(E52+F51)-F55</f>
        <v>372</v>
      </c>
      <c r="G52" s="44">
        <f>(F52+G51)-G55</f>
        <v>428.66666666666663</v>
      </c>
      <c r="H52" s="44">
        <f>(G52+H51)-H55</f>
        <v>475.33333333333326</v>
      </c>
      <c r="I52" s="44">
        <f>(H52+I51)-I55</f>
        <v>489.99999999999989</v>
      </c>
      <c r="J52" s="44"/>
      <c r="K52" s="44"/>
      <c r="L52" s="44">
        <f>(I52+L51)-L55</f>
        <v>391.99999999999989</v>
      </c>
      <c r="M52" s="44">
        <f>(L52+M51)-M55</f>
        <v>279.99999999999989</v>
      </c>
      <c r="N52" s="44">
        <f>(M52+N51)-N55</f>
        <v>217.99999999999989</v>
      </c>
      <c r="O52" s="44">
        <f>(N52+O51)-O55</f>
        <v>129.99999999999989</v>
      </c>
      <c r="P52" s="44">
        <f>(O52+P51)-P55</f>
        <v>129.99999999999989</v>
      </c>
      <c r="Q52" s="44"/>
      <c r="R52" s="44"/>
      <c r="S52" s="44">
        <f>(P52+S51)-S55</f>
        <v>9.9999999999998863</v>
      </c>
      <c r="T52" s="44">
        <f>(S52+T51)-T55</f>
        <v>-30.000000000000114</v>
      </c>
      <c r="U52" s="44">
        <f>(T52+U51)-U55</f>
        <v>-80.000000000000114</v>
      </c>
      <c r="V52" s="44">
        <f>(U52+V51)-V55</f>
        <v>-84.000000000000114</v>
      </c>
      <c r="W52" s="44"/>
      <c r="X52" s="44"/>
      <c r="Y52" s="44"/>
      <c r="Z52" s="44">
        <f>(V52+Z51)-Z55</f>
        <v>-178.00000000000011</v>
      </c>
      <c r="AA52" s="44">
        <f>(Z52+AA51)-AA55</f>
        <v>-186.00000000000011</v>
      </c>
      <c r="AB52" s="44">
        <f>(AA52+AB51)-AB55</f>
        <v>-206.00000000000011</v>
      </c>
      <c r="AC52" s="44"/>
      <c r="AD52" s="16"/>
      <c r="AE52" s="45"/>
    </row>
    <row r="53" spans="1:31" x14ac:dyDescent="0.25">
      <c r="A53" s="12" t="s">
        <v>24</v>
      </c>
      <c r="B53" s="13"/>
      <c r="C53" s="20" t="s">
        <v>15</v>
      </c>
      <c r="D53" s="18"/>
      <c r="E53" s="24">
        <f>E54/$B$54</f>
        <v>15.75</v>
      </c>
      <c r="F53" s="24">
        <f t="shared" ref="F53:L53" si="103">F54/$B$54</f>
        <v>26.875</v>
      </c>
      <c r="G53" s="24">
        <f t="shared" si="103"/>
        <v>26.833333333333332</v>
      </c>
      <c r="H53" s="24">
        <f t="shared" si="103"/>
        <v>26.833333333333332</v>
      </c>
      <c r="I53" s="24">
        <f t="shared" si="103"/>
        <v>26.833333333333332</v>
      </c>
      <c r="J53" s="24"/>
      <c r="K53" s="24"/>
      <c r="L53" s="24">
        <f t="shared" si="103"/>
        <v>9.5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28"/>
    </row>
    <row r="54" spans="1:31" x14ac:dyDescent="0.25">
      <c r="A54" s="12" t="s">
        <v>24</v>
      </c>
      <c r="B54" s="13">
        <v>8</v>
      </c>
      <c r="C54" s="20" t="s">
        <v>25</v>
      </c>
      <c r="D54" s="18"/>
      <c r="E54" s="24">
        <f>E51</f>
        <v>126</v>
      </c>
      <c r="F54" s="24">
        <f t="shared" ref="F54:L54" si="104">F51</f>
        <v>215</v>
      </c>
      <c r="G54" s="24">
        <f t="shared" si="104"/>
        <v>214.66666666666666</v>
      </c>
      <c r="H54" s="24">
        <f t="shared" si="104"/>
        <v>214.66666666666666</v>
      </c>
      <c r="I54" s="24">
        <f t="shared" si="104"/>
        <v>214.66666666666666</v>
      </c>
      <c r="J54" s="24"/>
      <c r="K54" s="24"/>
      <c r="L54" s="24">
        <f t="shared" si="104"/>
        <v>76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31"/>
      <c r="AD54" s="31"/>
      <c r="AE54" s="28"/>
    </row>
    <row r="55" spans="1:31" x14ac:dyDescent="0.25">
      <c r="A55" s="11" t="s">
        <v>10</v>
      </c>
      <c r="B55" s="3"/>
      <c r="C55" s="22">
        <f>SUM(D55:AE55)</f>
        <v>1534</v>
      </c>
      <c r="D55" s="16"/>
      <c r="E55" s="16">
        <v>44</v>
      </c>
      <c r="F55" s="16">
        <v>192</v>
      </c>
      <c r="G55" s="16">
        <v>158</v>
      </c>
      <c r="H55" s="16">
        <v>168</v>
      </c>
      <c r="I55" s="16">
        <v>200</v>
      </c>
      <c r="J55" s="16"/>
      <c r="K55" s="16"/>
      <c r="L55" s="16">
        <v>174</v>
      </c>
      <c r="M55" s="16">
        <v>112</v>
      </c>
      <c r="N55" s="16">
        <v>62</v>
      </c>
      <c r="O55" s="16">
        <v>88</v>
      </c>
      <c r="P55" s="16">
        <v>0</v>
      </c>
      <c r="Q55" s="16"/>
      <c r="R55" s="16"/>
      <c r="S55" s="16">
        <v>120</v>
      </c>
      <c r="T55" s="16">
        <v>40</v>
      </c>
      <c r="U55" s="16">
        <v>50</v>
      </c>
      <c r="V55" s="16">
        <v>4</v>
      </c>
      <c r="W55" s="16"/>
      <c r="X55" s="16"/>
      <c r="Y55" s="16"/>
      <c r="Z55" s="16">
        <v>94</v>
      </c>
      <c r="AA55" s="16">
        <v>8</v>
      </c>
      <c r="AB55" s="16">
        <v>20</v>
      </c>
      <c r="AC55" s="16"/>
      <c r="AD55" s="16"/>
      <c r="AE55" s="25"/>
    </row>
    <row r="56" spans="1:31" x14ac:dyDescent="0.25">
      <c r="A56" s="11" t="s">
        <v>11</v>
      </c>
      <c r="B56" s="3"/>
      <c r="C56" s="22">
        <f>SUM(D56:AE56)</f>
        <v>0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4"/>
    </row>
    <row r="57" spans="1:31" x14ac:dyDescent="0.25">
      <c r="A57" s="8"/>
      <c r="B57" s="9"/>
      <c r="C57" s="8"/>
      <c r="D57" s="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1" x14ac:dyDescent="0.25">
      <c r="A58" s="8"/>
      <c r="B58" s="9"/>
      <c r="C58" s="8"/>
      <c r="D58" s="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1" x14ac:dyDescent="0.25">
      <c r="B59" s="1"/>
    </row>
  </sheetData>
  <mergeCells count="3">
    <mergeCell ref="A21:C21"/>
    <mergeCell ref="A34:C34"/>
    <mergeCell ref="A48:C4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Name of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Zygadlo Rafal</dc:creator>
  <cp:keywords/>
  <dc:description/>
  <cp:lastModifiedBy>Sobczyk Arkadiusz</cp:lastModifiedBy>
  <cp:revision/>
  <dcterms:created xsi:type="dcterms:W3CDTF">2015-06-05T18:19:34Z</dcterms:created>
  <dcterms:modified xsi:type="dcterms:W3CDTF">2026-01-30T16:30:07Z</dcterms:modified>
  <cp:category/>
  <cp:contentStatus/>
</cp:coreProperties>
</file>